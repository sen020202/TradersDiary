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DAF798FF-51C4-4C2E-BA42-17D7653D9B36}" xr6:coauthVersionLast="47" xr6:coauthVersionMax="47" xr10:uidLastSave="{00000000-0000-0000-0000-000000000000}"/>
  <bookViews>
    <workbookView xWindow="2145" yWindow="2280" windowWidth="17910" windowHeight="11385" activeTab="2" xr2:uid="{78F3916E-C32E-433E-AEF5-354C01961DD5}"/>
  </bookViews>
  <sheets>
    <sheet name="Notes" sheetId="3" r:id="rId1"/>
    <sheet name="Oct-2025" sheetId="1" r:id="rId2"/>
    <sheet name="Nov-202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G12" i="2"/>
  <c r="G6" i="2"/>
  <c r="F32" i="2"/>
  <c r="E32" i="2"/>
  <c r="F36" i="1"/>
  <c r="E36" i="1"/>
  <c r="G34" i="1"/>
  <c r="G32" i="1"/>
  <c r="G31" i="1"/>
  <c r="G29" i="1"/>
  <c r="G27" i="1"/>
  <c r="G25" i="1"/>
  <c r="G3" i="2"/>
  <c r="G4" i="2"/>
  <c r="G5" i="2"/>
  <c r="G7" i="2"/>
  <c r="G8" i="2"/>
  <c r="G9" i="2"/>
  <c r="G10" i="2"/>
  <c r="G11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G13" i="1"/>
  <c r="G14" i="1"/>
  <c r="G22" i="1"/>
  <c r="G9" i="1"/>
  <c r="G10" i="1"/>
  <c r="G11" i="1"/>
  <c r="G12" i="1"/>
  <c r="G4" i="1"/>
  <c r="G7" i="1"/>
  <c r="G8" i="1"/>
  <c r="G17" i="1"/>
  <c r="G18" i="1"/>
  <c r="G19" i="1"/>
  <c r="G20" i="1"/>
  <c r="G21" i="1"/>
  <c r="G26" i="1"/>
  <c r="G28" i="1"/>
  <c r="G30" i="1"/>
  <c r="G33" i="1"/>
  <c r="G2" i="1"/>
  <c r="E34" i="2" l="1"/>
  <c r="E35" i="2" s="1"/>
  <c r="E39" i="1"/>
  <c r="E40" i="1" s="1"/>
</calcChain>
</file>

<file path=xl/sharedStrings.xml><?xml version="1.0" encoding="utf-8"?>
<sst xmlns="http://schemas.openxmlformats.org/spreadsheetml/2006/main" count="32" uniqueCount="22">
  <si>
    <t>DATE</t>
  </si>
  <si>
    <t>Opening Balance</t>
  </si>
  <si>
    <t>order price</t>
  </si>
  <si>
    <t>sell price</t>
  </si>
  <si>
    <t>P&amp;L</t>
  </si>
  <si>
    <t>closing Balance</t>
  </si>
  <si>
    <t>Quarterly AMC charge 70 deducted</t>
  </si>
  <si>
    <t>Charges</t>
  </si>
  <si>
    <t>% change</t>
  </si>
  <si>
    <t>Gross</t>
  </si>
  <si>
    <t>Net</t>
  </si>
  <si>
    <t xml:space="preserve"> </t>
  </si>
  <si>
    <t>%Net</t>
  </si>
  <si>
    <t>Net%</t>
  </si>
  <si>
    <t>take trade after the price cross and closed above the Average price</t>
  </si>
  <si>
    <t>wait for retest at or near the AVG price</t>
  </si>
  <si>
    <t>Watch out before make Trade</t>
  </si>
  <si>
    <t>Mark the PDL and PDH levels in the Premium chart</t>
  </si>
  <si>
    <t>Draw the Weekly open and Previous Week close levels on the premium chart</t>
  </si>
  <si>
    <t>capture the previous swing low/high of ITM based on 100+ concept</t>
  </si>
  <si>
    <t>check for opposite strike CE /PE below/above from the AVG price</t>
  </si>
  <si>
    <t>if the next candle  closed below the breakout candle then that is fake breakout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</si>
</sst>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4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2" fillId="3" borderId="1" xfId="2" applyBorder="1"/>
    <xf numFmtId="0" fontId="1" fillId="2" borderId="1" xfId="1" applyBorder="1"/>
    <xf numFmtId="14" fontId="3" fillId="4" borderId="1" xfId="3" applyNumberFormat="1" applyBorder="1"/>
    <xf numFmtId="0" fontId="3" fillId="4" borderId="1" xfId="3" applyBorder="1"/>
    <xf numFmtId="14" fontId="0" fillId="0" borderId="1" xfId="0" applyNumberFormat="1" applyBorder="1" applyAlignment="1">
      <alignment horizontal="center" wrapText="1"/>
    </xf>
    <xf numFmtId="0" fontId="2" fillId="0" borderId="1" xfId="2" applyFill="1" applyBorder="1"/>
    <xf numFmtId="164" fontId="0" fillId="0" borderId="1" xfId="4" applyNumberFormat="1" applyFont="1" applyBorder="1"/>
    <xf numFmtId="0" fontId="1" fillId="2" borderId="2" xfId="1" applyBorder="1" applyAlignment="1">
      <alignment vertical="center"/>
    </xf>
    <xf numFmtId="0" fontId="2" fillId="3" borderId="2" xfId="2" applyBorder="1" applyAlignment="1">
      <alignment vertical="center"/>
    </xf>
    <xf numFmtId="0" fontId="0" fillId="0" borderId="3" xfId="0" applyBorder="1"/>
    <xf numFmtId="9" fontId="0" fillId="0" borderId="0" xfId="4" applyFont="1"/>
    <xf numFmtId="0" fontId="4" fillId="0" borderId="0" xfId="0" applyFont="1"/>
    <xf numFmtId="14" fontId="0" fillId="0" borderId="2" xfId="0" applyNumberFormat="1" applyBorder="1" applyAlignment="1">
      <alignment horizontal="right" vertical="center"/>
    </xf>
    <xf numFmtId="14" fontId="0" fillId="0" borderId="3" xfId="0" applyNumberForma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right" vertic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Percent" xfId="4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6713-53A9-4478-85F9-9187C0D09020}">
  <dimension ref="A1:A8"/>
  <sheetViews>
    <sheetView workbookViewId="0">
      <selection activeCell="A15" sqref="A15"/>
    </sheetView>
  </sheetViews>
  <sheetFormatPr defaultRowHeight="15" x14ac:dyDescent="0.25"/>
  <cols>
    <col min="1" max="1" width="70.140625" bestFit="1" customWidth="1"/>
  </cols>
  <sheetData>
    <row r="1" spans="1:1" x14ac:dyDescent="0.25">
      <c r="A1" s="15" t="s">
        <v>16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20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470B-FE44-4ABB-A499-732AD4F0FC67}">
  <dimension ref="A1:L41"/>
  <sheetViews>
    <sheetView topLeftCell="A21" workbookViewId="0">
      <selection activeCell="H19" sqref="H19"/>
    </sheetView>
  </sheetViews>
  <sheetFormatPr defaultRowHeight="15" x14ac:dyDescent="0.25"/>
  <cols>
    <col min="1" max="1" width="27.140625" bestFit="1" customWidth="1"/>
    <col min="2" max="2" width="16.140625" bestFit="1" customWidth="1"/>
    <col min="3" max="3" width="17.5703125" bestFit="1" customWidth="1"/>
    <col min="4" max="4" width="13.5703125" customWidth="1"/>
    <col min="8" max="8" width="15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</row>
    <row r="2" spans="1:12" x14ac:dyDescent="0.25">
      <c r="A2" s="2">
        <v>45939</v>
      </c>
      <c r="B2" s="3">
        <v>15000</v>
      </c>
      <c r="C2" s="3"/>
      <c r="D2" s="3"/>
      <c r="E2" s="4">
        <v>-796</v>
      </c>
      <c r="F2" s="4">
        <v>62.4</v>
      </c>
      <c r="G2" s="4">
        <f>E2/B2*100</f>
        <v>-5.3066666666666666</v>
      </c>
      <c r="H2" s="3">
        <v>140140</v>
      </c>
    </row>
    <row r="3" spans="1:12" ht="30" x14ac:dyDescent="0.25">
      <c r="A3" s="8" t="s">
        <v>6</v>
      </c>
      <c r="B3" s="3"/>
      <c r="C3" s="3"/>
      <c r="D3" s="3"/>
      <c r="E3" s="3">
        <v>-70</v>
      </c>
      <c r="F3" s="3"/>
      <c r="H3" s="3"/>
    </row>
    <row r="4" spans="1:12" x14ac:dyDescent="0.25">
      <c r="A4" s="2">
        <v>45940</v>
      </c>
      <c r="B4" s="3">
        <v>14070</v>
      </c>
      <c r="C4" s="3">
        <v>119.4</v>
      </c>
      <c r="D4" s="3">
        <v>139</v>
      </c>
      <c r="E4" s="5">
        <v>720</v>
      </c>
      <c r="F4" s="4">
        <v>65.66</v>
      </c>
      <c r="G4" s="5">
        <f t="shared" ref="G4:G34" si="0">E4/B4*100</f>
        <v>5.1172707889125801</v>
      </c>
      <c r="H4" s="3">
        <v>140006.6</v>
      </c>
    </row>
    <row r="5" spans="1:12" x14ac:dyDescent="0.25">
      <c r="A5" s="6">
        <v>45941</v>
      </c>
      <c r="B5" s="7"/>
      <c r="C5" s="7"/>
      <c r="D5" s="7"/>
      <c r="E5" s="7"/>
      <c r="F5" s="7"/>
      <c r="G5" s="7"/>
      <c r="H5" s="7"/>
    </row>
    <row r="6" spans="1:12" x14ac:dyDescent="0.25">
      <c r="A6" s="6">
        <v>45942</v>
      </c>
      <c r="B6" s="7"/>
      <c r="C6" s="7"/>
      <c r="D6" s="7"/>
      <c r="E6" s="7"/>
      <c r="F6" s="7"/>
      <c r="G6" s="7"/>
      <c r="H6" s="7"/>
    </row>
    <row r="7" spans="1:12" x14ac:dyDescent="0.25">
      <c r="A7" s="2">
        <v>45943</v>
      </c>
      <c r="B7" s="3">
        <v>14726</v>
      </c>
      <c r="C7" s="3"/>
      <c r="D7" s="3"/>
      <c r="E7" s="3"/>
      <c r="F7" s="3"/>
      <c r="G7" s="9">
        <f t="shared" si="0"/>
        <v>0</v>
      </c>
      <c r="H7" s="3">
        <v>14726</v>
      </c>
    </row>
    <row r="8" spans="1:12" x14ac:dyDescent="0.25">
      <c r="A8" s="16">
        <v>45944</v>
      </c>
      <c r="B8" s="3">
        <v>14726</v>
      </c>
      <c r="C8" s="3">
        <v>79</v>
      </c>
      <c r="D8" s="3">
        <v>95.4</v>
      </c>
      <c r="E8" s="5">
        <v>1230</v>
      </c>
      <c r="F8" s="4">
        <v>60.16</v>
      </c>
      <c r="G8" s="5">
        <f t="shared" si="0"/>
        <v>8.352573679206845</v>
      </c>
      <c r="H8" s="18">
        <v>14628.3</v>
      </c>
    </row>
    <row r="9" spans="1:12" x14ac:dyDescent="0.25">
      <c r="A9" s="17"/>
      <c r="B9" s="3">
        <v>14669</v>
      </c>
      <c r="C9" s="3">
        <v>7.2</v>
      </c>
      <c r="D9" s="3">
        <v>7.5</v>
      </c>
      <c r="E9" s="5">
        <v>22.5</v>
      </c>
      <c r="F9" s="4">
        <v>48.12</v>
      </c>
      <c r="G9" s="5">
        <f t="shared" si="0"/>
        <v>0.15338468879950917</v>
      </c>
      <c r="H9" s="19"/>
    </row>
    <row r="10" spans="1:12" x14ac:dyDescent="0.25">
      <c r="A10" s="2">
        <v>45945</v>
      </c>
      <c r="B10" s="3">
        <v>15870.2</v>
      </c>
      <c r="C10" s="3">
        <v>149</v>
      </c>
      <c r="D10" s="3">
        <v>165</v>
      </c>
      <c r="E10" s="5">
        <v>1200</v>
      </c>
      <c r="F10" s="4">
        <v>66</v>
      </c>
      <c r="G10" s="5">
        <f t="shared" si="0"/>
        <v>7.5613413819611592</v>
      </c>
      <c r="H10" s="3"/>
    </row>
    <row r="11" spans="1:12" x14ac:dyDescent="0.25">
      <c r="A11" s="2">
        <v>45946</v>
      </c>
      <c r="B11" s="3">
        <v>17001.150000000001</v>
      </c>
      <c r="C11" s="3">
        <v>102</v>
      </c>
      <c r="D11" s="3">
        <v>92</v>
      </c>
      <c r="E11" s="4">
        <v>-732</v>
      </c>
      <c r="F11" s="4">
        <v>61</v>
      </c>
      <c r="G11" s="4">
        <f t="shared" si="0"/>
        <v>-4.3055910923672807</v>
      </c>
      <c r="H11" s="3"/>
      <c r="L11" t="s">
        <v>11</v>
      </c>
    </row>
    <row r="12" spans="1:12" x14ac:dyDescent="0.25">
      <c r="A12" s="16">
        <v>45947</v>
      </c>
      <c r="B12" s="3">
        <v>16209</v>
      </c>
      <c r="C12" s="3">
        <v>92</v>
      </c>
      <c r="D12" s="3">
        <v>99</v>
      </c>
      <c r="E12" s="5">
        <v>525</v>
      </c>
      <c r="F12" s="4">
        <v>61</v>
      </c>
      <c r="G12" s="11">
        <f t="shared" si="0"/>
        <v>3.2389413288913564</v>
      </c>
      <c r="H12" s="3"/>
    </row>
    <row r="13" spans="1:12" x14ac:dyDescent="0.25">
      <c r="A13" s="20"/>
      <c r="B13" s="3">
        <v>16209</v>
      </c>
      <c r="C13" s="3">
        <v>78</v>
      </c>
      <c r="D13" s="3">
        <v>88</v>
      </c>
      <c r="E13" s="5">
        <v>750</v>
      </c>
      <c r="F13" s="4">
        <v>61</v>
      </c>
      <c r="G13" s="11">
        <f t="shared" si="0"/>
        <v>4.627059041273367</v>
      </c>
      <c r="H13" s="3"/>
    </row>
    <row r="14" spans="1:12" x14ac:dyDescent="0.25">
      <c r="A14" s="17"/>
      <c r="B14" s="3">
        <v>16209</v>
      </c>
      <c r="C14" s="3">
        <v>109</v>
      </c>
      <c r="D14" s="3">
        <v>99</v>
      </c>
      <c r="E14" s="4">
        <v>-739</v>
      </c>
      <c r="F14" s="4">
        <v>61</v>
      </c>
      <c r="G14" s="12">
        <f t="shared" si="0"/>
        <v>-4.559195508668024</v>
      </c>
      <c r="H14" s="3">
        <v>16564.400000000001</v>
      </c>
    </row>
    <row r="15" spans="1:12" x14ac:dyDescent="0.25">
      <c r="A15" s="6">
        <v>45948</v>
      </c>
      <c r="B15" s="7"/>
      <c r="C15" s="7"/>
      <c r="D15" s="7"/>
      <c r="E15" s="7"/>
      <c r="F15" s="7"/>
      <c r="G15" s="7"/>
      <c r="H15" s="7"/>
    </row>
    <row r="16" spans="1:12" x14ac:dyDescent="0.25">
      <c r="A16" s="6">
        <v>45949</v>
      </c>
      <c r="B16" s="7"/>
      <c r="C16" s="7"/>
      <c r="D16" s="7"/>
      <c r="E16" s="7"/>
      <c r="F16" s="7"/>
      <c r="G16" s="7"/>
      <c r="H16" s="7"/>
    </row>
    <row r="17" spans="1:8" x14ac:dyDescent="0.25">
      <c r="A17" s="2">
        <v>45950</v>
      </c>
      <c r="B17" s="3">
        <v>16564.400000000001</v>
      </c>
      <c r="C17" s="3"/>
      <c r="D17" s="3"/>
      <c r="E17" s="5">
        <v>375</v>
      </c>
      <c r="F17" s="4">
        <v>54.7</v>
      </c>
      <c r="G17" s="5">
        <f t="shared" si="0"/>
        <v>2.2638912366279489</v>
      </c>
      <c r="H17" s="3"/>
    </row>
    <row r="18" spans="1:8" x14ac:dyDescent="0.25">
      <c r="A18" s="2">
        <v>45951</v>
      </c>
      <c r="B18" s="3">
        <v>16884</v>
      </c>
      <c r="C18" s="3"/>
      <c r="D18" s="3"/>
      <c r="E18" s="3">
        <v>-227</v>
      </c>
      <c r="F18" s="4">
        <v>2.5</v>
      </c>
      <c r="G18" s="4">
        <f t="shared" si="0"/>
        <v>-1.3444681355129118</v>
      </c>
      <c r="H18" s="3"/>
    </row>
    <row r="19" spans="1:8" x14ac:dyDescent="0.25">
      <c r="A19" s="2">
        <v>45952</v>
      </c>
      <c r="B19" s="3"/>
      <c r="C19" s="3"/>
      <c r="D19" s="3"/>
      <c r="E19" s="3"/>
      <c r="F19" s="3"/>
      <c r="G19" s="7" t="e">
        <f t="shared" si="0"/>
        <v>#DIV/0!</v>
      </c>
      <c r="H19" s="3"/>
    </row>
    <row r="20" spans="1:8" x14ac:dyDescent="0.25">
      <c r="A20" s="2">
        <v>45953</v>
      </c>
      <c r="B20" s="3">
        <v>16655.330000000002</v>
      </c>
      <c r="C20" s="3">
        <v>119</v>
      </c>
      <c r="D20" s="3">
        <v>110</v>
      </c>
      <c r="E20" s="4">
        <v>-660</v>
      </c>
      <c r="F20" s="4">
        <v>62.43</v>
      </c>
      <c r="G20" s="4">
        <f t="shared" si="0"/>
        <v>-3.9626954254283762</v>
      </c>
      <c r="H20" s="3"/>
    </row>
    <row r="21" spans="1:8" x14ac:dyDescent="0.25">
      <c r="A21" s="16">
        <v>45954</v>
      </c>
      <c r="B21" s="3">
        <v>15932.9</v>
      </c>
      <c r="C21" s="3">
        <v>116</v>
      </c>
      <c r="D21" s="3">
        <v>130</v>
      </c>
      <c r="E21" s="5">
        <v>1057</v>
      </c>
      <c r="F21" s="4">
        <v>64.569999999999993</v>
      </c>
      <c r="G21" s="5">
        <f t="shared" si="0"/>
        <v>6.6340716379315756</v>
      </c>
      <c r="H21" s="3"/>
    </row>
    <row r="22" spans="1:8" x14ac:dyDescent="0.25">
      <c r="A22" s="17"/>
      <c r="B22" s="3">
        <v>15860</v>
      </c>
      <c r="C22" s="3">
        <v>103</v>
      </c>
      <c r="D22" s="3">
        <v>112</v>
      </c>
      <c r="E22" s="5">
        <v>675</v>
      </c>
      <c r="F22" s="4">
        <v>62.3</v>
      </c>
      <c r="G22" s="5">
        <f t="shared" si="0"/>
        <v>4.2559899117276165</v>
      </c>
      <c r="H22" s="3"/>
    </row>
    <row r="23" spans="1:8" x14ac:dyDescent="0.25">
      <c r="A23" s="6">
        <v>45955</v>
      </c>
      <c r="B23" s="7"/>
      <c r="C23" s="7"/>
      <c r="D23" s="7"/>
      <c r="E23" s="7"/>
      <c r="F23" s="7"/>
      <c r="G23" s="7"/>
      <c r="H23" s="7"/>
    </row>
    <row r="24" spans="1:8" x14ac:dyDescent="0.25">
      <c r="A24" s="6">
        <v>45956</v>
      </c>
      <c r="B24" s="7"/>
      <c r="C24" s="7"/>
      <c r="D24" s="7"/>
      <c r="E24" s="7"/>
      <c r="F24" s="7"/>
      <c r="G24" s="7"/>
      <c r="H24" s="7"/>
    </row>
    <row r="25" spans="1:8" x14ac:dyDescent="0.25">
      <c r="A25" s="2">
        <v>45957</v>
      </c>
      <c r="B25" s="3">
        <v>17538.400000000001</v>
      </c>
      <c r="C25" s="3">
        <v>138</v>
      </c>
      <c r="D25" s="3">
        <v>149</v>
      </c>
      <c r="E25" s="5">
        <v>825</v>
      </c>
      <c r="F25" s="4">
        <v>67.3</v>
      </c>
      <c r="G25" s="5">
        <f>E25/B25*100</f>
        <v>4.7039638735574503</v>
      </c>
      <c r="H25" s="3"/>
    </row>
    <row r="26" spans="1:8" x14ac:dyDescent="0.25">
      <c r="A26" s="2">
        <v>45958</v>
      </c>
      <c r="B26" s="3">
        <v>18296.2</v>
      </c>
      <c r="C26" s="3">
        <v>48</v>
      </c>
      <c r="D26" s="3">
        <v>62</v>
      </c>
      <c r="E26" s="5">
        <v>1050</v>
      </c>
      <c r="F26" s="4">
        <v>51</v>
      </c>
      <c r="G26" s="5">
        <f t="shared" si="0"/>
        <v>5.7388966014800884</v>
      </c>
      <c r="H26" s="3"/>
    </row>
    <row r="27" spans="1:8" x14ac:dyDescent="0.25">
      <c r="A27" s="2"/>
      <c r="B27" s="3">
        <v>18245.900000000001</v>
      </c>
      <c r="C27" s="3">
        <v>69.5</v>
      </c>
      <c r="D27" s="3">
        <v>71.900000000000006</v>
      </c>
      <c r="E27" s="5">
        <v>187</v>
      </c>
      <c r="F27" s="4">
        <v>55</v>
      </c>
      <c r="G27" s="5">
        <f t="shared" si="0"/>
        <v>1.0248877830087855</v>
      </c>
      <c r="H27" s="3"/>
    </row>
    <row r="28" spans="1:8" x14ac:dyDescent="0.25">
      <c r="A28" s="2">
        <v>45959</v>
      </c>
      <c r="B28" s="3">
        <v>19421.38</v>
      </c>
      <c r="C28" s="3">
        <v>164</v>
      </c>
      <c r="D28" s="3">
        <v>175</v>
      </c>
      <c r="E28" s="5">
        <v>825</v>
      </c>
      <c r="F28" s="4">
        <v>72</v>
      </c>
      <c r="G28" s="5">
        <f t="shared" si="0"/>
        <v>4.2478958755762974</v>
      </c>
      <c r="H28" s="3"/>
    </row>
    <row r="29" spans="1:8" x14ac:dyDescent="0.25">
      <c r="A29" s="2"/>
      <c r="B29" s="3">
        <v>19349.3</v>
      </c>
      <c r="C29" s="3">
        <v>149</v>
      </c>
      <c r="D29" s="3">
        <v>155</v>
      </c>
      <c r="E29" s="5">
        <v>450</v>
      </c>
      <c r="F29" s="4">
        <v>68.2</v>
      </c>
      <c r="G29" s="5">
        <f t="shared" si="0"/>
        <v>2.3256655279519154</v>
      </c>
      <c r="H29" s="3"/>
    </row>
    <row r="30" spans="1:8" x14ac:dyDescent="0.25">
      <c r="A30" s="2">
        <v>45960</v>
      </c>
      <c r="B30" s="3">
        <v>20555</v>
      </c>
      <c r="C30" s="3">
        <v>121</v>
      </c>
      <c r="D30" s="3">
        <v>112</v>
      </c>
      <c r="E30" s="4">
        <v>-683</v>
      </c>
      <c r="F30" s="4">
        <v>61.5</v>
      </c>
      <c r="G30" s="4">
        <f t="shared" si="0"/>
        <v>-3.3227925079056191</v>
      </c>
      <c r="H30" s="3"/>
    </row>
    <row r="31" spans="1:8" x14ac:dyDescent="0.25">
      <c r="A31" s="2"/>
      <c r="B31" s="3">
        <v>19811.3</v>
      </c>
      <c r="C31" s="3">
        <v>150</v>
      </c>
      <c r="D31" s="3">
        <v>156.9</v>
      </c>
      <c r="E31" s="5">
        <v>521</v>
      </c>
      <c r="F31" s="4">
        <v>61</v>
      </c>
      <c r="G31" s="5">
        <f t="shared" si="0"/>
        <v>2.6298122788509586</v>
      </c>
      <c r="H31" s="3"/>
    </row>
    <row r="32" spans="1:8" x14ac:dyDescent="0.25">
      <c r="A32" s="2"/>
      <c r="B32" s="3">
        <v>20236</v>
      </c>
      <c r="C32" s="3">
        <v>105</v>
      </c>
      <c r="D32" s="3">
        <v>95</v>
      </c>
      <c r="E32" s="4">
        <v>-750</v>
      </c>
      <c r="F32" s="4">
        <v>65</v>
      </c>
      <c r="G32" s="4">
        <f t="shared" si="0"/>
        <v>-3.7062660604862621</v>
      </c>
      <c r="H32" s="3"/>
    </row>
    <row r="33" spans="1:8" x14ac:dyDescent="0.25">
      <c r="A33" s="2">
        <v>45961</v>
      </c>
      <c r="B33" s="3">
        <v>19451.5</v>
      </c>
      <c r="C33" s="3">
        <v>121</v>
      </c>
      <c r="D33" s="3">
        <v>131</v>
      </c>
      <c r="E33" s="5">
        <v>750</v>
      </c>
      <c r="F33" s="4">
        <v>65.3</v>
      </c>
      <c r="G33" s="5">
        <f t="shared" si="0"/>
        <v>3.8557437729738067</v>
      </c>
      <c r="H33" s="3"/>
    </row>
    <row r="34" spans="1:8" x14ac:dyDescent="0.25">
      <c r="A34" s="2"/>
      <c r="B34" s="3">
        <v>19387.900000000001</v>
      </c>
      <c r="C34" s="3">
        <v>91</v>
      </c>
      <c r="D34" s="3">
        <v>80.900000000000006</v>
      </c>
      <c r="E34" s="4">
        <v>-675</v>
      </c>
      <c r="F34" s="4">
        <v>59</v>
      </c>
      <c r="G34" s="5">
        <f t="shared" si="0"/>
        <v>-3.4815529273412795</v>
      </c>
      <c r="H34" s="3"/>
    </row>
    <row r="35" spans="1:8" x14ac:dyDescent="0.25">
      <c r="A35" s="2"/>
      <c r="B35" s="3"/>
      <c r="C35" s="3">
        <v>171</v>
      </c>
      <c r="D35" s="3">
        <v>158</v>
      </c>
      <c r="E35" s="4">
        <v>-1300</v>
      </c>
      <c r="F35" s="4">
        <v>196</v>
      </c>
      <c r="G35" s="5"/>
      <c r="H35" s="3"/>
    </row>
    <row r="36" spans="1:8" x14ac:dyDescent="0.25">
      <c r="D36" s="13" t="s">
        <v>9</v>
      </c>
      <c r="E36" s="13">
        <f>SUM(E2:E35)</f>
        <v>4530.5</v>
      </c>
      <c r="F36" s="13">
        <f>SUM(F2:F35)</f>
        <v>1614.1399999999999</v>
      </c>
    </row>
    <row r="37" spans="1:8" x14ac:dyDescent="0.25">
      <c r="D37" s="3"/>
      <c r="E37" s="3"/>
      <c r="F37" s="3"/>
    </row>
    <row r="38" spans="1:8" x14ac:dyDescent="0.25">
      <c r="D38" s="3"/>
      <c r="E38" s="3"/>
      <c r="F38" s="3"/>
    </row>
    <row r="39" spans="1:8" x14ac:dyDescent="0.25">
      <c r="D39" s="3" t="s">
        <v>10</v>
      </c>
      <c r="E39" s="3">
        <f>E36-F36</f>
        <v>2916.36</v>
      </c>
      <c r="F39" s="3"/>
    </row>
    <row r="40" spans="1:8" x14ac:dyDescent="0.25">
      <c r="D40" s="3" t="s">
        <v>12</v>
      </c>
      <c r="E40" s="10">
        <f>E39/B2</f>
        <v>0.19442400000000001</v>
      </c>
      <c r="F40" s="3"/>
    </row>
    <row r="41" spans="1:8" x14ac:dyDescent="0.25">
      <c r="D41" s="3"/>
      <c r="E41" s="3"/>
      <c r="F41" s="3"/>
    </row>
  </sheetData>
  <mergeCells count="4">
    <mergeCell ref="A8:A9"/>
    <mergeCell ref="H8:H9"/>
    <mergeCell ref="A12:A14"/>
    <mergeCell ref="A21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3871-25D8-42BA-8D04-3B0C1572EE4C}">
  <dimension ref="A1:H35"/>
  <sheetViews>
    <sheetView tabSelected="1" topLeftCell="A7" workbookViewId="0">
      <selection activeCell="K17" sqref="K17"/>
    </sheetView>
  </sheetViews>
  <sheetFormatPr defaultRowHeight="15" x14ac:dyDescent="0.25"/>
  <cols>
    <col min="1" max="1" width="10.42578125" bestFit="1" customWidth="1"/>
    <col min="2" max="2" width="16.140625" bestFit="1" customWidth="1"/>
    <col min="3" max="3" width="10.85546875" bestFit="1" customWidth="1"/>
    <col min="8" max="8" width="1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</row>
    <row r="2" spans="1:8" x14ac:dyDescent="0.25">
      <c r="A2" s="2">
        <v>45964</v>
      </c>
      <c r="B2" s="3">
        <v>18030</v>
      </c>
      <c r="C2" s="3">
        <v>90</v>
      </c>
      <c r="D2" s="3">
        <v>84</v>
      </c>
      <c r="E2" s="4">
        <v>-450</v>
      </c>
      <c r="F2" s="4">
        <v>59</v>
      </c>
      <c r="G2" s="4">
        <f>E2/B2*100</f>
        <v>-2.4958402662229617</v>
      </c>
      <c r="H2" s="3">
        <v>0</v>
      </c>
    </row>
    <row r="3" spans="1:8" x14ac:dyDescent="0.25">
      <c r="A3" s="2">
        <v>45965</v>
      </c>
      <c r="B3" s="3">
        <v>17522.11</v>
      </c>
      <c r="C3" s="3">
        <v>119</v>
      </c>
      <c r="D3" s="3">
        <v>100</v>
      </c>
      <c r="E3" s="4">
        <v>-1425</v>
      </c>
      <c r="F3" s="4">
        <v>62</v>
      </c>
      <c r="G3" s="4">
        <f>E3/B3*100</f>
        <v>-8.1325822061384159</v>
      </c>
      <c r="H3" s="3"/>
    </row>
    <row r="4" spans="1:8" x14ac:dyDescent="0.25">
      <c r="A4" s="6">
        <v>45966</v>
      </c>
      <c r="B4" s="7"/>
      <c r="C4" s="7"/>
      <c r="D4" s="7"/>
      <c r="E4" s="7"/>
      <c r="F4" s="7"/>
      <c r="G4" s="7" t="e">
        <f t="shared" ref="G4:G31" si="0">E4/B4*100</f>
        <v>#DIV/0!</v>
      </c>
      <c r="H4" s="7"/>
    </row>
    <row r="5" spans="1:8" x14ac:dyDescent="0.25">
      <c r="A5" s="2">
        <v>45967</v>
      </c>
      <c r="B5" s="3">
        <v>16035</v>
      </c>
      <c r="C5" s="3">
        <v>109</v>
      </c>
      <c r="D5" s="3">
        <v>99</v>
      </c>
      <c r="E5" s="4">
        <v>-653</v>
      </c>
      <c r="F5" s="4">
        <v>62</v>
      </c>
      <c r="G5" s="4">
        <f t="shared" si="0"/>
        <v>-4.0723417524165892</v>
      </c>
      <c r="H5" s="3"/>
    </row>
    <row r="6" spans="1:8" x14ac:dyDescent="0.25">
      <c r="A6" s="2"/>
      <c r="B6" s="3">
        <v>15320</v>
      </c>
      <c r="C6" s="3">
        <v>119</v>
      </c>
      <c r="D6" s="3">
        <v>111</v>
      </c>
      <c r="E6" s="4">
        <v>-600</v>
      </c>
      <c r="F6" s="4">
        <v>63</v>
      </c>
      <c r="G6" s="4">
        <f t="shared" si="0"/>
        <v>-3.9164490861618799</v>
      </c>
      <c r="H6" s="3"/>
    </row>
    <row r="7" spans="1:8" x14ac:dyDescent="0.25">
      <c r="A7" s="2">
        <v>45968</v>
      </c>
      <c r="B7" s="3">
        <v>14657.2</v>
      </c>
      <c r="C7" s="3"/>
      <c r="D7" s="3"/>
      <c r="E7" s="4">
        <v>-462</v>
      </c>
      <c r="F7" s="4">
        <v>65</v>
      </c>
      <c r="G7" s="4">
        <f t="shared" si="0"/>
        <v>-3.1520344949922223</v>
      </c>
      <c r="H7" s="3"/>
    </row>
    <row r="8" spans="1:8" x14ac:dyDescent="0.25">
      <c r="A8" s="6">
        <v>45969</v>
      </c>
      <c r="B8" s="7"/>
      <c r="C8" s="7"/>
      <c r="D8" s="7"/>
      <c r="E8" s="7"/>
      <c r="F8" s="7"/>
      <c r="G8" s="7" t="e">
        <f t="shared" si="0"/>
        <v>#DIV/0!</v>
      </c>
      <c r="H8" s="7"/>
    </row>
    <row r="9" spans="1:8" x14ac:dyDescent="0.25">
      <c r="A9" s="6">
        <v>45970</v>
      </c>
      <c r="B9" s="7"/>
      <c r="C9" s="7"/>
      <c r="D9" s="7"/>
      <c r="E9" s="7"/>
      <c r="F9" s="7"/>
      <c r="G9" s="7" t="e">
        <f t="shared" si="0"/>
        <v>#DIV/0!</v>
      </c>
      <c r="H9" s="7"/>
    </row>
    <row r="10" spans="1:8" x14ac:dyDescent="0.25">
      <c r="A10" s="2">
        <v>45971</v>
      </c>
      <c r="B10" s="3">
        <v>14131</v>
      </c>
      <c r="C10" s="3"/>
      <c r="D10" s="3"/>
      <c r="E10" s="3"/>
      <c r="F10" s="3"/>
      <c r="G10" s="3">
        <f t="shared" si="0"/>
        <v>0</v>
      </c>
      <c r="H10" s="3"/>
    </row>
    <row r="11" spans="1:8" x14ac:dyDescent="0.25">
      <c r="A11" s="2">
        <v>45972</v>
      </c>
      <c r="B11" s="3">
        <v>14131</v>
      </c>
      <c r="C11" s="3">
        <v>70.5</v>
      </c>
      <c r="D11" s="3">
        <v>71.5</v>
      </c>
      <c r="E11" s="5">
        <v>67</v>
      </c>
      <c r="F11" s="4">
        <v>57</v>
      </c>
      <c r="G11" s="5">
        <f t="shared" si="0"/>
        <v>0.47413488075861582</v>
      </c>
      <c r="H11" s="3"/>
    </row>
    <row r="12" spans="1:8" x14ac:dyDescent="0.25">
      <c r="A12" s="2"/>
      <c r="B12" s="3">
        <v>14050</v>
      </c>
      <c r="C12" s="3">
        <v>63</v>
      </c>
      <c r="D12" s="3">
        <v>53</v>
      </c>
      <c r="E12" s="4">
        <v>-750</v>
      </c>
      <c r="F12" s="4">
        <v>55</v>
      </c>
      <c r="G12" s="4">
        <f t="shared" si="0"/>
        <v>-5.3380782918149468</v>
      </c>
      <c r="H12" s="3"/>
    </row>
    <row r="13" spans="1:8" x14ac:dyDescent="0.25">
      <c r="A13" s="2">
        <v>45973</v>
      </c>
      <c r="B13" s="3">
        <v>13315.2</v>
      </c>
      <c r="C13" s="3"/>
      <c r="D13" s="3"/>
      <c r="E13" s="3"/>
      <c r="F13" s="3"/>
      <c r="G13" s="3">
        <f t="shared" si="0"/>
        <v>0</v>
      </c>
      <c r="H13" s="3"/>
    </row>
    <row r="14" spans="1:8" x14ac:dyDescent="0.25">
      <c r="A14" s="2">
        <v>45974</v>
      </c>
      <c r="B14" s="3">
        <v>13315.2</v>
      </c>
      <c r="C14" s="3"/>
      <c r="D14" s="3"/>
      <c r="E14" s="3"/>
      <c r="F14" s="3"/>
      <c r="G14" s="3">
        <f t="shared" si="0"/>
        <v>0</v>
      </c>
      <c r="H14" s="3"/>
    </row>
    <row r="15" spans="1:8" x14ac:dyDescent="0.25">
      <c r="A15" s="2">
        <v>45975</v>
      </c>
      <c r="B15" s="3">
        <v>13315.2</v>
      </c>
      <c r="C15" s="3">
        <v>132</v>
      </c>
      <c r="D15" s="3">
        <v>102</v>
      </c>
      <c r="E15" s="4">
        <v>-1179</v>
      </c>
      <c r="F15" s="4">
        <v>63</v>
      </c>
      <c r="G15" s="4">
        <f t="shared" si="0"/>
        <v>-8.8545421773612105</v>
      </c>
      <c r="H15" s="3"/>
    </row>
    <row r="16" spans="1:8" x14ac:dyDescent="0.25">
      <c r="A16" s="6">
        <v>45976</v>
      </c>
      <c r="B16" s="7"/>
      <c r="C16" s="7"/>
      <c r="D16" s="7"/>
      <c r="E16" s="7"/>
      <c r="F16" s="7"/>
      <c r="G16" s="7" t="e">
        <f t="shared" si="0"/>
        <v>#DIV/0!</v>
      </c>
      <c r="H16" s="7"/>
    </row>
    <row r="17" spans="1:8" x14ac:dyDescent="0.25">
      <c r="A17" s="6">
        <v>45977</v>
      </c>
      <c r="B17" s="7"/>
      <c r="C17" s="7"/>
      <c r="D17" s="7"/>
      <c r="E17" s="7"/>
      <c r="F17" s="7"/>
      <c r="G17" s="7" t="e">
        <f t="shared" si="0"/>
        <v>#DIV/0!</v>
      </c>
      <c r="H17" s="7"/>
    </row>
    <row r="18" spans="1:8" x14ac:dyDescent="0.25">
      <c r="A18" s="2">
        <v>45978</v>
      </c>
      <c r="B18" s="3">
        <v>11074</v>
      </c>
      <c r="C18" s="3">
        <v>74</v>
      </c>
      <c r="D18" s="3"/>
      <c r="E18" s="3">
        <v>-582</v>
      </c>
      <c r="F18" s="4">
        <v>54</v>
      </c>
      <c r="G18" s="3">
        <f t="shared" si="0"/>
        <v>-5.2555535488531691</v>
      </c>
      <c r="H18" s="3"/>
    </row>
    <row r="19" spans="1:8" x14ac:dyDescent="0.25">
      <c r="A19" s="2">
        <v>45979</v>
      </c>
      <c r="B19" s="3">
        <v>10439</v>
      </c>
      <c r="C19" s="3"/>
      <c r="D19" s="3"/>
      <c r="E19" s="3"/>
      <c r="F19" s="3"/>
      <c r="G19" s="3">
        <f t="shared" si="0"/>
        <v>0</v>
      </c>
      <c r="H19" s="3"/>
    </row>
    <row r="20" spans="1:8" x14ac:dyDescent="0.25">
      <c r="A20" s="2">
        <v>45980</v>
      </c>
      <c r="B20" s="3"/>
      <c r="C20" s="3"/>
      <c r="D20" s="3"/>
      <c r="E20" s="3"/>
      <c r="F20" s="3"/>
      <c r="G20" s="3" t="e">
        <f t="shared" si="0"/>
        <v>#DIV/0!</v>
      </c>
      <c r="H20" s="3"/>
    </row>
    <row r="21" spans="1:8" x14ac:dyDescent="0.25">
      <c r="A21" s="2">
        <v>45981</v>
      </c>
      <c r="B21" s="3"/>
      <c r="C21" s="3"/>
      <c r="D21" s="3"/>
      <c r="E21" s="3"/>
      <c r="F21" s="3"/>
      <c r="G21" s="3" t="e">
        <f t="shared" si="0"/>
        <v>#DIV/0!</v>
      </c>
      <c r="H21" s="3"/>
    </row>
    <row r="22" spans="1:8" x14ac:dyDescent="0.25">
      <c r="A22" s="2">
        <v>45982</v>
      </c>
      <c r="B22" s="3"/>
      <c r="C22" s="3"/>
      <c r="D22" s="3"/>
      <c r="E22" s="3"/>
      <c r="F22" s="3"/>
      <c r="G22" s="3" t="e">
        <f t="shared" si="0"/>
        <v>#DIV/0!</v>
      </c>
      <c r="H22" s="3"/>
    </row>
    <row r="23" spans="1:8" x14ac:dyDescent="0.25">
      <c r="A23" s="6">
        <v>45983</v>
      </c>
      <c r="B23" s="7"/>
      <c r="C23" s="7"/>
      <c r="D23" s="7"/>
      <c r="E23" s="7"/>
      <c r="F23" s="7"/>
      <c r="G23" s="7" t="e">
        <f t="shared" si="0"/>
        <v>#DIV/0!</v>
      </c>
      <c r="H23" s="7"/>
    </row>
    <row r="24" spans="1:8" x14ac:dyDescent="0.25">
      <c r="A24" s="6">
        <v>45984</v>
      </c>
      <c r="B24" s="7"/>
      <c r="C24" s="7"/>
      <c r="D24" s="7"/>
      <c r="E24" s="7"/>
      <c r="F24" s="7"/>
      <c r="G24" s="7" t="e">
        <f t="shared" si="0"/>
        <v>#DIV/0!</v>
      </c>
      <c r="H24" s="7"/>
    </row>
    <row r="25" spans="1:8" x14ac:dyDescent="0.25">
      <c r="A25" s="2">
        <v>45985</v>
      </c>
      <c r="B25" s="3"/>
      <c r="C25" s="3"/>
      <c r="D25" s="3"/>
      <c r="E25" s="3"/>
      <c r="F25" s="3"/>
      <c r="G25" s="3" t="e">
        <f t="shared" si="0"/>
        <v>#DIV/0!</v>
      </c>
      <c r="H25" s="3"/>
    </row>
    <row r="26" spans="1:8" x14ac:dyDescent="0.25">
      <c r="A26" s="2">
        <v>45986</v>
      </c>
      <c r="B26" s="3"/>
      <c r="C26" s="3"/>
      <c r="D26" s="3"/>
      <c r="E26" s="3"/>
      <c r="F26" s="3"/>
      <c r="G26" s="3" t="e">
        <f t="shared" si="0"/>
        <v>#DIV/0!</v>
      </c>
      <c r="H26" s="3"/>
    </row>
    <row r="27" spans="1:8" x14ac:dyDescent="0.25">
      <c r="A27" s="2">
        <v>45987</v>
      </c>
      <c r="B27" s="3"/>
      <c r="C27" s="3"/>
      <c r="D27" s="3"/>
      <c r="E27" s="3"/>
      <c r="F27" s="3"/>
      <c r="G27" s="3" t="e">
        <f t="shared" si="0"/>
        <v>#DIV/0!</v>
      </c>
      <c r="H27" s="3"/>
    </row>
    <row r="28" spans="1:8" x14ac:dyDescent="0.25">
      <c r="A28" s="2">
        <v>45988</v>
      </c>
      <c r="B28" s="3"/>
      <c r="C28" s="3"/>
      <c r="D28" s="3"/>
      <c r="E28" s="3"/>
      <c r="F28" s="3"/>
      <c r="G28" s="3" t="e">
        <f t="shared" si="0"/>
        <v>#DIV/0!</v>
      </c>
      <c r="H28" s="3"/>
    </row>
    <row r="29" spans="1:8" x14ac:dyDescent="0.25">
      <c r="A29" s="2">
        <v>45989</v>
      </c>
      <c r="B29" s="3"/>
      <c r="C29" s="3"/>
      <c r="D29" s="3"/>
      <c r="E29" s="3"/>
      <c r="F29" s="3"/>
      <c r="G29" s="3" t="e">
        <f t="shared" si="0"/>
        <v>#DIV/0!</v>
      </c>
      <c r="H29" s="3"/>
    </row>
    <row r="30" spans="1:8" x14ac:dyDescent="0.25">
      <c r="A30" s="6">
        <v>45990</v>
      </c>
      <c r="B30" s="7"/>
      <c r="C30" s="7"/>
      <c r="D30" s="7"/>
      <c r="E30" s="7"/>
      <c r="F30" s="7"/>
      <c r="G30" s="7" t="e">
        <f t="shared" si="0"/>
        <v>#DIV/0!</v>
      </c>
      <c r="H30" s="7"/>
    </row>
    <row r="31" spans="1:8" x14ac:dyDescent="0.25">
      <c r="A31" s="6">
        <v>45991</v>
      </c>
      <c r="B31" s="7"/>
      <c r="C31" s="7"/>
      <c r="D31" s="7"/>
      <c r="E31" s="7"/>
      <c r="F31" s="7"/>
      <c r="G31" s="7" t="e">
        <f t="shared" si="0"/>
        <v>#DIV/0!</v>
      </c>
      <c r="H31" s="7"/>
    </row>
    <row r="32" spans="1:8" x14ac:dyDescent="0.25">
      <c r="D32" t="s">
        <v>9</v>
      </c>
      <c r="E32">
        <f>SUM(E2:E31)</f>
        <v>-6034</v>
      </c>
      <c r="F32">
        <f>SUM(F2:F31)</f>
        <v>540</v>
      </c>
    </row>
    <row r="34" spans="4:5" x14ac:dyDescent="0.25">
      <c r="D34" t="s">
        <v>10</v>
      </c>
      <c r="E34">
        <f>E32-F32</f>
        <v>-6574</v>
      </c>
    </row>
    <row r="35" spans="4:5" x14ac:dyDescent="0.25">
      <c r="D35" t="s">
        <v>13</v>
      </c>
      <c r="E35" s="14">
        <f>E34/B2</f>
        <v>-0.36461453133666111</v>
      </c>
    </row>
  </sheetData>
  <conditionalFormatting sqref="E1:E1048576">
    <cfRule type="cellIs" dxfId="6" priority="4" operator="greaterThan">
      <formula>0</formula>
    </cfRule>
    <cfRule type="cellIs" dxfId="5" priority="5" operator="lessThan">
      <formula>0</formula>
    </cfRule>
    <cfRule type="cellIs" dxfId="4" priority="7" operator="lessThan">
      <formula>0</formula>
    </cfRule>
  </conditionalFormatting>
  <conditionalFormatting sqref="F19:F22">
    <cfRule type="cellIs" dxfId="3" priority="2" operator="greaterThan">
      <formula>0</formula>
    </cfRule>
  </conditionalFormatting>
  <conditionalFormatting sqref="F25:F29">
    <cfRule type="cellIs" dxfId="2" priority="1" operator="greaterThan">
      <formula>0</formula>
    </cfRule>
  </conditionalFormatting>
  <conditionalFormatting sqref="G1:G1048576">
    <cfRule type="cellIs" dxfId="1" priority="3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Oct-2025</vt:lpstr>
      <vt:lpstr>Nov-2025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VELAN Senthil</dc:creator>
  <cp:lastModifiedBy>VELAN Senthil</cp:lastModifiedBy>
  <dcterms:created xsi:type="dcterms:W3CDTF">2025-10-10T05:05:04Z</dcterms:created>
  <dcterms:modified xsi:type="dcterms:W3CDTF">2025-11-17T05:39:54Z</dcterms:modified>
</cp:coreProperties>
</file>